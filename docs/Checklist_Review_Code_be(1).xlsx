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cklist Review Code" sheetId="1" r:id="rId4"/>
  </sheets>
  <definedNames>
    <definedName hidden="1" localSheetId="0" name="_xlnm._FilterDatabase">'Checklist Review Code'!$A$4:$F$63</definedName>
  </definedNames>
  <calcPr/>
  <extLst>
    <ext uri="GoogleSheetsCustomDataVersion2">
      <go:sheetsCustomData xmlns:go="http://customooxmlschemas.google.com/" r:id="rId5" roundtripDataChecksum="ADE1G2PEMbhtGe5g8uqZlokRTR2A+6KXx9wnLwuDZcM="/>
    </ext>
  </extLst>
</workbook>
</file>

<file path=xl/sharedStrings.xml><?xml version="1.0" encoding="utf-8"?>
<sst xmlns="http://schemas.openxmlformats.org/spreadsheetml/2006/main" count="90" uniqueCount="90">
  <si>
    <t>CHECKLIST REVIEW CODE</t>
  </si>
  <si>
    <t>Dự án: ______________________     Người review: ______________________     Ngày review: ____/____/______</t>
  </si>
  <si>
    <t>STT</t>
  </si>
  <si>
    <t>Nhóm</t>
  </si>
  <si>
    <t>Tiêu chí kiểm tra</t>
  </si>
  <si>
    <t>Kết quả</t>
  </si>
  <si>
    <t>Mức độ</t>
  </si>
  <si>
    <t>Ghi chú / Vị trí lỗi (file, dòng)</t>
  </si>
  <si>
    <t>1. Quy tắc đặt tên</t>
  </si>
  <si>
    <t>Tên package viết thường toàn bộ, là danh từ ngắn gọn, không khoảng trắng/dấu gạch ngang/ký tự đặc biệt</t>
  </si>
  <si>
    <t>Tên package phản ánh đúng chức năng (không dùng common/misc/other/helper)</t>
  </si>
  <si>
    <t>Tên class là danh từ, viết theo PascalCase, thể hiện đúng chức năng</t>
  </si>
  <si>
    <t>Tên interface là danh từ/tính từ, PascalCase, không có tiền tố "I"</t>
  </si>
  <si>
    <t>Tên method là động từ/cụm động từ, camelCase, mô tả rõ hành động</t>
  </si>
  <si>
    <t>Tên biến camelCase, ngắn gọn nhưng có ý nghĩa, không viết tắt khó hiểu</t>
  </si>
  <si>
    <t>Tên hằng số viết hoa toàn bộ, các từ phân cách bằng dấu "_"</t>
  </si>
  <si>
    <t>Tên enum dùng PascalCase; giá trị enum viết hoa, phân cách bằng "_"</t>
  </si>
  <si>
    <t>2. Định dạng mã nguồn</t>
  </si>
  <si>
    <t>Thụt lề dùng 4 khoảng trắng (Spaces), không dùng Tab</t>
  </si>
  <si>
    <t>Mỗi dòng tối đa 80–120 ký tự, vượt quá thì xuống dòng hợp lý</t>
  </si>
  <si>
    <t>Dấu { đặt cùng dòng khai báo, dấu } đặt riêng dòng và thẳng hàng với lệnh mở đầu</t>
  </si>
  <si>
    <t>Có khoảng trắng sau dấu phẩy, sau từ khóa if/for/while/switch, và hai bên toán tử</t>
  </si>
  <si>
    <t>Mỗi dòng chỉ chứa một câu lệnh</t>
  </si>
  <si>
    <t>Luôn sử dụng dấu ngoặc {} kể cả khi chỉ có một câu lệnh</t>
  </si>
  <si>
    <t>Đã format code (Format Code) trước khi commit/nộp bài</t>
  </si>
  <si>
    <t>3. Quy tắc Import</t>
  </si>
  <si>
    <t>Chỉ import đúng class cần sử dụng</t>
  </si>
  <si>
    <t>Không sử dụng ký tự đại diện (*) khi import</t>
  </si>
  <si>
    <t>Đã xóa các import không sử dụng</t>
  </si>
  <si>
    <t>4. Quy tắc viết Class</t>
  </si>
  <si>
    <t>Mỗi class chỉ đảm nhiệm một trách nhiệm chính (SRP)</t>
  </si>
  <si>
    <t>Tên class phản ánh đúng chức năng thực tế</t>
  </si>
  <si>
    <t>Thuộc tính được khai báo private</t>
  </si>
  <si>
    <t>Truy cập thuộc tính qua Getter/Setter khi cần</t>
  </si>
  <si>
    <t>Không có class vừa xử lý giao diện vừa xử lý dữ liệu/nghiệp vụ cùng lúc</t>
  </si>
  <si>
    <t>5. Quy tắc viết Method</t>
  </si>
  <si>
    <t>Mỗi method chỉ thực hiện một chức năng</t>
  </si>
  <si>
    <t>Độ dài method dưới 30 dòng (nếu dài hơn đã tách nhỏ)</t>
  </si>
  <si>
    <t>Không truyền quá 3 tham số (nếu nhiều hơn đã gom vào một object)</t>
  </si>
  <si>
    <t>6. Quy tắc sử dụng Biến</t>
  </si>
  <si>
    <t>Biến được khai báo gần nơi sử dụng</t>
  </si>
  <si>
    <t>Biến được khởi tạo giá trị trước khi sử dụng</t>
  </si>
  <si>
    <t>Phạm vi (scope) của biến được giới hạn nhỏ nhất có thể</t>
  </si>
  <si>
    <t>7. Quy tắc sử dụng Constant</t>
  </si>
  <si>
    <t>Không sử dụng Magic Number/Magic String trong code</t>
  </si>
  <si>
    <t>Các giá trị cố định được khai báo thành hằng số (static final) có tên rõ nghĩa</t>
  </si>
  <si>
    <t>8. Quy tắc Comment</t>
  </si>
  <si>
    <t>Có Javadoc đầy đủ cho Public Class / Public Interface / Public Method</t>
  </si>
  <si>
    <t>Có Block Comment giải thích thuật toán/logic phức tạp</t>
  </si>
  <si>
    <t>Line Comment chỉ dùng để giải thích ngắn gọn, không mô tả điều hiển nhiên</t>
  </si>
  <si>
    <t>9. Quy tắc Exception</t>
  </si>
  <si>
    <t>Chỉ bắt đúng loại Exception cần xử lý (không bắt Exception chung chung không cần thiết)</t>
  </si>
  <si>
    <t>Không có khối catch rỗng</t>
  </si>
  <si>
    <t>Không lạm dụng catch (Exception e)</t>
  </si>
  <si>
    <t>10. Quy tắc Logging</t>
  </si>
  <si>
    <t>Không sử dụng System.out.println() để debug trong code hoàn chỉnh</t>
  </si>
  <si>
    <t>Sử dụng framework Logging (Log4j/SLF4J/Logback...) nếu dự án hỗ trợ</t>
  </si>
  <si>
    <t>11. Tổ chức Package</t>
  </si>
  <si>
    <t>Cấu trúc package phản ánh đúng kiến trúc dự án (controller/service/dao/model/view/util/exception/config)</t>
  </si>
  <si>
    <t>Không có package đặt tên chung chung (common/misc/other/helper)</t>
  </si>
  <si>
    <t>12. Nguyên tắc OOP</t>
  </si>
  <si>
    <t>Tuân thủ nguyên tắc đóng gói (Encapsulation)</t>
  </si>
  <si>
    <t>Ưu tiên lập trình theo Interface thay vì cài đặt cụ thể</t>
  </si>
  <si>
    <t>Hạn chế sử dụng static nếu không thực sự cần thiết</t>
  </si>
  <si>
    <t>Mỗi class chỉ đảm nhận một vai trò rõ ràng theo SRP</t>
  </si>
  <si>
    <t>Giảm sự phụ thuộc giữa các lớp (loose coupling) để dễ mở rộng/bảo trì</t>
  </si>
  <si>
    <t>13. Quy tắc chung &amp; Chất lượng</t>
  </si>
  <si>
    <t>Mã nguồn dễ đọc, dễ hiểu</t>
  </si>
  <si>
    <t>Không lặp lại mã nguồn (tuân thủ DRY)</t>
  </si>
  <si>
    <t>Không còn Dead Code (mã không sử dụng)</t>
  </si>
  <si>
    <t>Đặt tên rõ ràng, không viết tắt tùy tiện</t>
  </si>
  <si>
    <t>Không còn TODO/FIXME/code debug/comment tạm thời trước khi merge</t>
  </si>
  <si>
    <t>Không có thông tin nhạy cảm bị hardcode (password, API key, connection string...)</t>
  </si>
  <si>
    <t>14. Kiểm tra trước khi Deploy</t>
  </si>
  <si>
    <t>Đã build thành công, không có lỗi biên dịch/cảnh báo nghiêm trọng</t>
  </si>
  <si>
    <t>Đã chạy Unit Test / Integration Test và pass toàn bộ</t>
  </si>
  <si>
    <t>Đã kiểm tra bằng công cụ tĩnh (Checkstyle/PMD/SpotBugs...) nếu dự án có cấu hình</t>
  </si>
  <si>
    <t>Đã kiểm tra hiệu năng cơ bản (không có vòng lặp/khoá không cần thiết gây chậm)</t>
  </si>
  <si>
    <t>Đã review bảo mật cơ bản (không SQL Injection, validate input đầu vào)</t>
  </si>
  <si>
    <t>Đã cập nhật tài liệu/README nếu có thay đổi liên quan</t>
  </si>
  <si>
    <t>Đã được ít nhất 1 người khác review và duyệt (Code Review/Pull Request approved)</t>
  </si>
  <si>
    <t>TỔNG KẾT REVIEW</t>
  </si>
  <si>
    <t>Tổng số tiêu chí</t>
  </si>
  <si>
    <t>Số tiêu chí Đạt</t>
  </si>
  <si>
    <t>Số tiêu chí Không đạt</t>
  </si>
  <si>
    <t>Số tiêu chí N/A</t>
  </si>
  <si>
    <t>Tỷ lệ đạt (%)</t>
  </si>
  <si>
    <t>Kết luận: ☐ Đạt yêu cầu, có thể deploy     ☐ Cần sửa và review lại     ☐ Không đạt, từ chối merge</t>
  </si>
  <si>
    <t>Chữ ký người review: ______________________</t>
  </si>
  <si>
    <t>Chữ ký người phụ trách dự án: ______________________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</si>
</sst>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6.0"/>
      <color rgb="FFFFFFFF"/>
      <name val="Arial"/>
    </font>
    <font/>
    <font>
      <i/>
      <sz val="10.0"/>
      <color theme="1"/>
      <name val="Arial"/>
    </font>
    <font>
      <b/>
      <sz val="10.0"/>
      <color rgb="FFFFFFFF"/>
      <name val="Arial"/>
    </font>
    <font>
      <sz val="10.0"/>
      <color theme="1"/>
      <name val="Arial"/>
    </font>
    <font>
      <b/>
      <sz val="11.0"/>
      <color rgb="FFFFFFFF"/>
      <name val="Arial"/>
    </font>
    <font>
      <b/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4472C4"/>
        <bgColor rgb="FF4472C4"/>
      </patternFill>
    </fill>
    <fill>
      <patternFill patternType="solid">
        <fgColor rgb="FF2E75B6"/>
        <bgColor rgb="FF2E75B6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B7B7B7"/>
      </left>
      <right style="thin">
        <color rgb="FFB7B7B7"/>
      </right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left" vertical="center"/>
    </xf>
    <xf borderId="4" fillId="3" fontId="4" numFmtId="0" xfId="0" applyAlignment="1" applyBorder="1" applyFill="1" applyFont="1">
      <alignment horizontal="center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5" fillId="0" fontId="5" numFmtId="0" xfId="0" applyAlignment="1" applyBorder="1" applyFont="1">
      <alignment horizontal="left" shrinkToFit="0" vertical="center" wrapText="1"/>
    </xf>
    <xf borderId="4" fillId="0" fontId="5" numFmtId="0" xfId="0" applyAlignment="1" applyBorder="1" applyFont="1">
      <alignment horizontal="left" shrinkToFit="0" vertical="center" wrapText="1"/>
    </xf>
    <xf borderId="6" fillId="0" fontId="2" numFmtId="0" xfId="0" applyBorder="1" applyFont="1"/>
    <xf borderId="7" fillId="0" fontId="2" numFmtId="0" xfId="0" applyBorder="1" applyFont="1"/>
    <xf borderId="1" fillId="4" fontId="6" numFmtId="0" xfId="0" applyAlignment="1" applyBorder="1" applyFill="1" applyFont="1">
      <alignment horizontal="center" shrinkToFit="0" vertical="center" wrapText="1"/>
    </xf>
    <xf borderId="8" fillId="0" fontId="7" numFmtId="0" xfId="0" applyAlignment="1" applyBorder="1" applyFont="1">
      <alignment horizontal="left" vertical="center"/>
    </xf>
    <xf borderId="9" fillId="0" fontId="2" numFmtId="0" xfId="0" applyBorder="1" applyFont="1"/>
    <xf borderId="10" fillId="0" fontId="2" numFmtId="0" xfId="0" applyBorder="1" applyFont="1"/>
    <xf borderId="8" fillId="0" fontId="5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5" numFmtId="0" xfId="0" applyFont="1"/>
  </cellXfs>
  <cellStyles count="1">
    <cellStyle xfId="0" name="Normal" builtinId="0"/>
  </cellStyles>
  <dxfs count="3">
    <dxf>
      <font>
        <color rgb="FF006100"/>
        <name val="Arial"/>
      </font>
      <fill>
        <patternFill patternType="solid">
          <fgColor rgb="FFC6EFCE"/>
          <bgColor rgb="FFC6EFCE"/>
        </patternFill>
      </fill>
      <border/>
    </dxf>
    <dxf>
      <font>
        <color rgb="FF9C0006"/>
        <name val="Arial"/>
      </font>
      <fill>
        <patternFill patternType="solid">
          <fgColor rgb="FFFFC7CE"/>
          <bgColor rgb="FFFFC7CE"/>
        </patternFill>
      </fill>
      <border/>
    </dxf>
    <dxf>
      <font>
        <color rgb="FF666666"/>
        <name val="Arial"/>
      </font>
      <fill>
        <patternFill patternType="solid">
          <fgColor rgb="FFD9D9D9"/>
          <bgColor rgb="FFD9D9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6.0"/>
    <col customWidth="1" min="2" max="2" width="20.0"/>
    <col customWidth="1" min="3" max="3" width="60.0"/>
    <col customWidth="1" min="4" max="5" width="12.0"/>
    <col customWidth="1" min="6" max="6" width="40.0"/>
    <col customWidth="1" min="7" max="26" width="8.71"/>
  </cols>
  <sheetData>
    <row r="1" ht="27.75" customHeight="1">
      <c r="A1" s="1" t="s">
        <v>0</v>
      </c>
      <c r="B1" s="2"/>
      <c r="C1" s="2"/>
      <c r="D1" s="2"/>
      <c r="E1" s="2"/>
      <c r="F1" s="3"/>
    </row>
    <row r="2" ht="19.5" customHeight="1">
      <c r="A2" s="4" t="s">
        <v>1</v>
      </c>
    </row>
    <row r="3" ht="6.0" customHeight="1"/>
    <row r="4" ht="14.25" customHeight="1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</row>
    <row r="5" ht="27.75" customHeight="1">
      <c r="A5" s="6">
        <v>1.0</v>
      </c>
      <c r="B5" s="7" t="s">
        <v>8</v>
      </c>
      <c r="C5" s="8" t="s">
        <v>9</v>
      </c>
      <c r="D5" s="6"/>
      <c r="E5" s="6"/>
      <c r="F5" s="8"/>
    </row>
    <row r="6" ht="27.75" customHeight="1">
      <c r="A6" s="6">
        <v>2.0</v>
      </c>
      <c r="B6" s="9"/>
      <c r="C6" s="8" t="s">
        <v>10</v>
      </c>
      <c r="D6" s="6"/>
      <c r="E6" s="6"/>
      <c r="F6" s="8"/>
    </row>
    <row r="7" ht="27.75" customHeight="1">
      <c r="A7" s="6">
        <v>3.0</v>
      </c>
      <c r="B7" s="9"/>
      <c r="C7" s="8" t="s">
        <v>11</v>
      </c>
      <c r="D7" s="6"/>
      <c r="E7" s="6"/>
      <c r="F7" s="8"/>
    </row>
    <row r="8" ht="27.75" customHeight="1">
      <c r="A8" s="6">
        <v>4.0</v>
      </c>
      <c r="B8" s="9"/>
      <c r="C8" s="8" t="s">
        <v>12</v>
      </c>
      <c r="D8" s="6"/>
      <c r="E8" s="6"/>
      <c r="F8" s="8"/>
    </row>
    <row r="9" ht="27.75" customHeight="1">
      <c r="A9" s="6">
        <v>5.0</v>
      </c>
      <c r="B9" s="9"/>
      <c r="C9" s="8" t="s">
        <v>13</v>
      </c>
      <c r="D9" s="6"/>
      <c r="E9" s="6"/>
      <c r="F9" s="8"/>
    </row>
    <row r="10" ht="27.75" customHeight="1">
      <c r="A10" s="6">
        <v>6.0</v>
      </c>
      <c r="B10" s="9"/>
      <c r="C10" s="8" t="s">
        <v>14</v>
      </c>
      <c r="D10" s="6"/>
      <c r="E10" s="6"/>
      <c r="F10" s="8"/>
    </row>
    <row r="11" ht="27.75" customHeight="1">
      <c r="A11" s="6">
        <v>7.0</v>
      </c>
      <c r="B11" s="9"/>
      <c r="C11" s="8" t="s">
        <v>15</v>
      </c>
      <c r="D11" s="6"/>
      <c r="E11" s="6"/>
      <c r="F11" s="8"/>
    </row>
    <row r="12" ht="27.75" customHeight="1">
      <c r="A12" s="6">
        <v>8.0</v>
      </c>
      <c r="B12" s="10"/>
      <c r="C12" s="8" t="s">
        <v>16</v>
      </c>
      <c r="D12" s="6"/>
      <c r="E12" s="6"/>
      <c r="F12" s="8"/>
    </row>
    <row r="13" ht="27.75" customHeight="1">
      <c r="A13" s="6">
        <v>9.0</v>
      </c>
      <c r="B13" s="7" t="s">
        <v>17</v>
      </c>
      <c r="C13" s="8" t="s">
        <v>18</v>
      </c>
      <c r="D13" s="6"/>
      <c r="E13" s="6"/>
      <c r="F13" s="8"/>
    </row>
    <row r="14" ht="27.75" customHeight="1">
      <c r="A14" s="6">
        <v>10.0</v>
      </c>
      <c r="B14" s="9"/>
      <c r="C14" s="8" t="s">
        <v>19</v>
      </c>
      <c r="D14" s="6"/>
      <c r="E14" s="6"/>
      <c r="F14" s="8"/>
    </row>
    <row r="15" ht="27.75" customHeight="1">
      <c r="A15" s="6">
        <v>11.0</v>
      </c>
      <c r="B15" s="9"/>
      <c r="C15" s="8" t="s">
        <v>20</v>
      </c>
      <c r="D15" s="6"/>
      <c r="E15" s="6"/>
      <c r="F15" s="8"/>
    </row>
    <row r="16" ht="27.75" customHeight="1">
      <c r="A16" s="6">
        <v>12.0</v>
      </c>
      <c r="B16" s="9"/>
      <c r="C16" s="8" t="s">
        <v>21</v>
      </c>
      <c r="D16" s="6"/>
      <c r="E16" s="6"/>
      <c r="F16" s="8"/>
    </row>
    <row r="17" ht="27.75" customHeight="1">
      <c r="A17" s="6">
        <v>13.0</v>
      </c>
      <c r="B17" s="9"/>
      <c r="C17" s="8" t="s">
        <v>22</v>
      </c>
      <c r="D17" s="6"/>
      <c r="E17" s="6"/>
      <c r="F17" s="8"/>
    </row>
    <row r="18" ht="27.75" customHeight="1">
      <c r="A18" s="6">
        <v>14.0</v>
      </c>
      <c r="B18" s="9"/>
      <c r="C18" s="8" t="s">
        <v>23</v>
      </c>
      <c r="D18" s="6"/>
      <c r="E18" s="6"/>
      <c r="F18" s="8"/>
    </row>
    <row r="19" ht="27.75" customHeight="1">
      <c r="A19" s="6">
        <v>15.0</v>
      </c>
      <c r="B19" s="10"/>
      <c r="C19" s="8" t="s">
        <v>24</v>
      </c>
      <c r="D19" s="6"/>
      <c r="E19" s="6"/>
      <c r="F19" s="8"/>
    </row>
    <row r="20" ht="27.75" customHeight="1">
      <c r="A20" s="6">
        <v>16.0</v>
      </c>
      <c r="B20" s="7" t="s">
        <v>25</v>
      </c>
      <c r="C20" s="8" t="s">
        <v>26</v>
      </c>
      <c r="D20" s="6"/>
      <c r="E20" s="6"/>
      <c r="F20" s="8"/>
    </row>
    <row r="21" ht="27.75" customHeight="1">
      <c r="A21" s="6">
        <v>17.0</v>
      </c>
      <c r="B21" s="9"/>
      <c r="C21" s="8" t="s">
        <v>27</v>
      </c>
      <c r="D21" s="6"/>
      <c r="E21" s="6"/>
      <c r="F21" s="8"/>
    </row>
    <row r="22" ht="27.75" customHeight="1">
      <c r="A22" s="6">
        <v>18.0</v>
      </c>
      <c r="B22" s="10"/>
      <c r="C22" s="8" t="s">
        <v>28</v>
      </c>
      <c r="D22" s="6"/>
      <c r="E22" s="6"/>
      <c r="F22" s="8"/>
    </row>
    <row r="23" ht="27.75" customHeight="1">
      <c r="A23" s="6">
        <v>19.0</v>
      </c>
      <c r="B23" s="7" t="s">
        <v>29</v>
      </c>
      <c r="C23" s="8" t="s">
        <v>30</v>
      </c>
      <c r="D23" s="6"/>
      <c r="E23" s="6"/>
      <c r="F23" s="8"/>
    </row>
    <row r="24" ht="27.75" customHeight="1">
      <c r="A24" s="6">
        <v>20.0</v>
      </c>
      <c r="B24" s="9"/>
      <c r="C24" s="8" t="s">
        <v>31</v>
      </c>
      <c r="D24" s="6"/>
      <c r="E24" s="6"/>
      <c r="F24" s="8"/>
    </row>
    <row r="25" ht="27.75" customHeight="1">
      <c r="A25" s="6">
        <v>21.0</v>
      </c>
      <c r="B25" s="9"/>
      <c r="C25" s="8" t="s">
        <v>32</v>
      </c>
      <c r="D25" s="6"/>
      <c r="E25" s="6"/>
      <c r="F25" s="8"/>
    </row>
    <row r="26" ht="27.75" customHeight="1">
      <c r="A26" s="6">
        <v>22.0</v>
      </c>
      <c r="B26" s="9"/>
      <c r="C26" s="8" t="s">
        <v>33</v>
      </c>
      <c r="D26" s="6"/>
      <c r="E26" s="6"/>
      <c r="F26" s="8"/>
    </row>
    <row r="27" ht="27.75" customHeight="1">
      <c r="A27" s="6">
        <v>23.0</v>
      </c>
      <c r="B27" s="10"/>
      <c r="C27" s="8" t="s">
        <v>34</v>
      </c>
      <c r="D27" s="6"/>
      <c r="E27" s="6"/>
      <c r="F27" s="8"/>
    </row>
    <row r="28" ht="27.75" customHeight="1">
      <c r="A28" s="6">
        <v>24.0</v>
      </c>
      <c r="B28" s="7" t="s">
        <v>35</v>
      </c>
      <c r="C28" s="8" t="s">
        <v>36</v>
      </c>
      <c r="D28" s="6"/>
      <c r="E28" s="6"/>
      <c r="F28" s="8"/>
    </row>
    <row r="29" ht="27.75" customHeight="1">
      <c r="A29" s="6">
        <v>25.0</v>
      </c>
      <c r="B29" s="9"/>
      <c r="C29" s="8" t="s">
        <v>37</v>
      </c>
      <c r="D29" s="6"/>
      <c r="E29" s="6"/>
      <c r="F29" s="8"/>
    </row>
    <row r="30" ht="27.75" customHeight="1">
      <c r="A30" s="6">
        <v>26.0</v>
      </c>
      <c r="B30" s="10"/>
      <c r="C30" s="8" t="s">
        <v>38</v>
      </c>
      <c r="D30" s="6"/>
      <c r="E30" s="6"/>
      <c r="F30" s="8"/>
    </row>
    <row r="31" ht="27.75" customHeight="1">
      <c r="A31" s="6">
        <v>27.0</v>
      </c>
      <c r="B31" s="7" t="s">
        <v>39</v>
      </c>
      <c r="C31" s="8" t="s">
        <v>40</v>
      </c>
      <c r="D31" s="6"/>
      <c r="E31" s="6"/>
      <c r="F31" s="8"/>
    </row>
    <row r="32" ht="27.75" customHeight="1">
      <c r="A32" s="6">
        <v>28.0</v>
      </c>
      <c r="B32" s="9"/>
      <c r="C32" s="8" t="s">
        <v>41</v>
      </c>
      <c r="D32" s="6"/>
      <c r="E32" s="6"/>
      <c r="F32" s="8"/>
    </row>
    <row r="33" ht="27.75" customHeight="1">
      <c r="A33" s="6">
        <v>29.0</v>
      </c>
      <c r="B33" s="10"/>
      <c r="C33" s="8" t="s">
        <v>42</v>
      </c>
      <c r="D33" s="6"/>
      <c r="E33" s="6"/>
      <c r="F33" s="8"/>
    </row>
    <row r="34" ht="27.75" customHeight="1">
      <c r="A34" s="6">
        <v>30.0</v>
      </c>
      <c r="B34" s="7" t="s">
        <v>43</v>
      </c>
      <c r="C34" s="8" t="s">
        <v>44</v>
      </c>
      <c r="D34" s="6"/>
      <c r="E34" s="6"/>
      <c r="F34" s="8"/>
    </row>
    <row r="35" ht="27.75" customHeight="1">
      <c r="A35" s="6">
        <v>31.0</v>
      </c>
      <c r="B35" s="10"/>
      <c r="C35" s="8" t="s">
        <v>45</v>
      </c>
      <c r="D35" s="6"/>
      <c r="E35" s="6"/>
      <c r="F35" s="8"/>
    </row>
    <row r="36" ht="27.75" customHeight="1">
      <c r="A36" s="6">
        <v>32.0</v>
      </c>
      <c r="B36" s="7" t="s">
        <v>46</v>
      </c>
      <c r="C36" s="8" t="s">
        <v>47</v>
      </c>
      <c r="D36" s="6"/>
      <c r="E36" s="6"/>
      <c r="F36" s="8"/>
    </row>
    <row r="37" ht="27.75" customHeight="1">
      <c r="A37" s="6">
        <v>33.0</v>
      </c>
      <c r="B37" s="9"/>
      <c r="C37" s="8" t="s">
        <v>48</v>
      </c>
      <c r="D37" s="6"/>
      <c r="E37" s="6"/>
      <c r="F37" s="8"/>
    </row>
    <row r="38" ht="27.75" customHeight="1">
      <c r="A38" s="6">
        <v>34.0</v>
      </c>
      <c r="B38" s="10"/>
      <c r="C38" s="8" t="s">
        <v>49</v>
      </c>
      <c r="D38" s="6"/>
      <c r="E38" s="6"/>
      <c r="F38" s="8"/>
    </row>
    <row r="39" ht="27.75" customHeight="1">
      <c r="A39" s="6">
        <v>35.0</v>
      </c>
      <c r="B39" s="7" t="s">
        <v>50</v>
      </c>
      <c r="C39" s="8" t="s">
        <v>51</v>
      </c>
      <c r="D39" s="6"/>
      <c r="E39" s="6"/>
      <c r="F39" s="8"/>
    </row>
    <row r="40" ht="27.75" customHeight="1">
      <c r="A40" s="6">
        <v>36.0</v>
      </c>
      <c r="B40" s="9"/>
      <c r="C40" s="8" t="s">
        <v>52</v>
      </c>
      <c r="D40" s="6"/>
      <c r="E40" s="6"/>
      <c r="F40" s="8"/>
    </row>
    <row r="41" ht="27.75" customHeight="1">
      <c r="A41" s="6">
        <v>37.0</v>
      </c>
      <c r="B41" s="10"/>
      <c r="C41" s="8" t="s">
        <v>53</v>
      </c>
      <c r="D41" s="6"/>
      <c r="E41" s="6"/>
      <c r="F41" s="8"/>
    </row>
    <row r="42" ht="27.75" customHeight="1">
      <c r="A42" s="6">
        <v>38.0</v>
      </c>
      <c r="B42" s="7" t="s">
        <v>54</v>
      </c>
      <c r="C42" s="8" t="s">
        <v>55</v>
      </c>
      <c r="D42" s="6"/>
      <c r="E42" s="6"/>
      <c r="F42" s="8"/>
    </row>
    <row r="43" ht="27.75" customHeight="1">
      <c r="A43" s="6">
        <v>39.0</v>
      </c>
      <c r="B43" s="10"/>
      <c r="C43" s="8" t="s">
        <v>56</v>
      </c>
      <c r="D43" s="6"/>
      <c r="E43" s="6"/>
      <c r="F43" s="8"/>
    </row>
    <row r="44" ht="27.75" customHeight="1">
      <c r="A44" s="6">
        <v>40.0</v>
      </c>
      <c r="B44" s="7" t="s">
        <v>57</v>
      </c>
      <c r="C44" s="8" t="s">
        <v>58</v>
      </c>
      <c r="D44" s="6"/>
      <c r="E44" s="6"/>
      <c r="F44" s="8"/>
    </row>
    <row r="45" ht="27.75" customHeight="1">
      <c r="A45" s="6">
        <v>41.0</v>
      </c>
      <c r="B45" s="10"/>
      <c r="C45" s="8" t="s">
        <v>59</v>
      </c>
      <c r="D45" s="6"/>
      <c r="E45" s="6"/>
      <c r="F45" s="8"/>
    </row>
    <row r="46" ht="27.75" customHeight="1">
      <c r="A46" s="6">
        <v>42.0</v>
      </c>
      <c r="B46" s="7" t="s">
        <v>60</v>
      </c>
      <c r="C46" s="8" t="s">
        <v>61</v>
      </c>
      <c r="D46" s="6"/>
      <c r="E46" s="6"/>
      <c r="F46" s="8"/>
    </row>
    <row r="47" ht="27.75" customHeight="1">
      <c r="A47" s="6">
        <v>43.0</v>
      </c>
      <c r="B47" s="9"/>
      <c r="C47" s="8" t="s">
        <v>62</v>
      </c>
      <c r="D47" s="6"/>
      <c r="E47" s="6"/>
      <c r="F47" s="8"/>
    </row>
    <row r="48" ht="27.75" customHeight="1">
      <c r="A48" s="6">
        <v>44.0</v>
      </c>
      <c r="B48" s="9"/>
      <c r="C48" s="8" t="s">
        <v>63</v>
      </c>
      <c r="D48" s="6"/>
      <c r="E48" s="6"/>
      <c r="F48" s="8"/>
    </row>
    <row r="49" ht="27.75" customHeight="1">
      <c r="A49" s="6">
        <v>45.0</v>
      </c>
      <c r="B49" s="9"/>
      <c r="C49" s="8" t="s">
        <v>64</v>
      </c>
      <c r="D49" s="6"/>
      <c r="E49" s="6"/>
      <c r="F49" s="8"/>
    </row>
    <row r="50" ht="27.75" customHeight="1">
      <c r="A50" s="6">
        <v>46.0</v>
      </c>
      <c r="B50" s="10"/>
      <c r="C50" s="8" t="s">
        <v>65</v>
      </c>
      <c r="D50" s="6"/>
      <c r="E50" s="6"/>
      <c r="F50" s="8"/>
    </row>
    <row r="51" ht="27.75" customHeight="1">
      <c r="A51" s="6">
        <v>47.0</v>
      </c>
      <c r="B51" s="7" t="s">
        <v>66</v>
      </c>
      <c r="C51" s="8" t="s">
        <v>67</v>
      </c>
      <c r="D51" s="6"/>
      <c r="E51" s="6"/>
      <c r="F51" s="8"/>
    </row>
    <row r="52" ht="27.75" customHeight="1">
      <c r="A52" s="6">
        <v>48.0</v>
      </c>
      <c r="B52" s="9"/>
      <c r="C52" s="8" t="s">
        <v>68</v>
      </c>
      <c r="D52" s="6"/>
      <c r="E52" s="6"/>
      <c r="F52" s="8"/>
    </row>
    <row r="53" ht="27.75" customHeight="1">
      <c r="A53" s="6">
        <v>49.0</v>
      </c>
      <c r="B53" s="9"/>
      <c r="C53" s="8" t="s">
        <v>69</v>
      </c>
      <c r="D53" s="6"/>
      <c r="E53" s="6"/>
      <c r="F53" s="8"/>
    </row>
    <row r="54" ht="27.75" customHeight="1">
      <c r="A54" s="6">
        <v>50.0</v>
      </c>
      <c r="B54" s="9"/>
      <c r="C54" s="8" t="s">
        <v>70</v>
      </c>
      <c r="D54" s="6"/>
      <c r="E54" s="6"/>
      <c r="F54" s="8"/>
    </row>
    <row r="55" ht="27.75" customHeight="1">
      <c r="A55" s="6">
        <v>51.0</v>
      </c>
      <c r="B55" s="9"/>
      <c r="C55" s="8" t="s">
        <v>71</v>
      </c>
      <c r="D55" s="6"/>
      <c r="E55" s="6"/>
      <c r="F55" s="8"/>
    </row>
    <row r="56" ht="27.75" customHeight="1">
      <c r="A56" s="6">
        <v>52.0</v>
      </c>
      <c r="B56" s="10"/>
      <c r="C56" s="8" t="s">
        <v>72</v>
      </c>
      <c r="D56" s="6"/>
      <c r="E56" s="6"/>
      <c r="F56" s="8"/>
    </row>
    <row r="57" ht="27.75" customHeight="1">
      <c r="A57" s="6">
        <v>53.0</v>
      </c>
      <c r="B57" s="7" t="s">
        <v>73</v>
      </c>
      <c r="C57" s="8" t="s">
        <v>74</v>
      </c>
      <c r="D57" s="6"/>
      <c r="E57" s="6"/>
      <c r="F57" s="8"/>
    </row>
    <row r="58" ht="27.75" customHeight="1">
      <c r="A58" s="6">
        <v>54.0</v>
      </c>
      <c r="B58" s="9"/>
      <c r="C58" s="8" t="s">
        <v>75</v>
      </c>
      <c r="D58" s="6"/>
      <c r="E58" s="6"/>
      <c r="F58" s="8"/>
    </row>
    <row r="59" ht="27.75" customHeight="1">
      <c r="A59" s="6">
        <v>55.0</v>
      </c>
      <c r="B59" s="9"/>
      <c r="C59" s="8" t="s">
        <v>76</v>
      </c>
      <c r="D59" s="6"/>
      <c r="E59" s="6"/>
      <c r="F59" s="8"/>
    </row>
    <row r="60" ht="27.75" customHeight="1">
      <c r="A60" s="6">
        <v>56.0</v>
      </c>
      <c r="B60" s="9"/>
      <c r="C60" s="8" t="s">
        <v>77</v>
      </c>
      <c r="D60" s="6"/>
      <c r="E60" s="6"/>
      <c r="F60" s="8"/>
    </row>
    <row r="61" ht="27.75" customHeight="1">
      <c r="A61" s="6">
        <v>57.0</v>
      </c>
      <c r="B61" s="9"/>
      <c r="C61" s="8" t="s">
        <v>78</v>
      </c>
      <c r="D61" s="6"/>
      <c r="E61" s="6"/>
      <c r="F61" s="8"/>
    </row>
    <row r="62" ht="27.75" customHeight="1">
      <c r="A62" s="6">
        <v>58.0</v>
      </c>
      <c r="B62" s="9"/>
      <c r="C62" s="8" t="s">
        <v>79</v>
      </c>
      <c r="D62" s="6"/>
      <c r="E62" s="6"/>
      <c r="F62" s="8"/>
    </row>
    <row r="63" ht="27.75" customHeight="1">
      <c r="A63" s="6">
        <v>59.0</v>
      </c>
      <c r="B63" s="10"/>
      <c r="C63" s="8" t="s">
        <v>80</v>
      </c>
      <c r="D63" s="6"/>
      <c r="E63" s="6"/>
      <c r="F63" s="8"/>
    </row>
    <row r="64" ht="14.25" customHeight="1"/>
    <row r="65" ht="14.25" customHeight="1"/>
    <row r="66" ht="21.75" customHeight="1">
      <c r="A66" s="11" t="s">
        <v>81</v>
      </c>
      <c r="B66" s="2"/>
      <c r="C66" s="2"/>
      <c r="D66" s="2"/>
      <c r="E66" s="2"/>
      <c r="F66" s="3"/>
    </row>
    <row r="67" ht="19.5" customHeight="1">
      <c r="A67" s="12" t="s">
        <v>82</v>
      </c>
      <c r="B67" s="13"/>
      <c r="C67" s="14"/>
      <c r="D67" s="15">
        <f>COUNTA(C5:C63)</f>
        <v>59</v>
      </c>
      <c r="E67" s="13"/>
      <c r="F67" s="14"/>
    </row>
    <row r="68" ht="19.5" customHeight="1">
      <c r="A68" s="12" t="s">
        <v>83</v>
      </c>
      <c r="B68" s="13"/>
      <c r="C68" s="14"/>
      <c r="D68" s="15">
        <f>COUNTIF(D5:D63,"Đạt")</f>
        <v>0</v>
      </c>
      <c r="E68" s="13"/>
      <c r="F68" s="14"/>
    </row>
    <row r="69" ht="19.5" customHeight="1">
      <c r="A69" s="12" t="s">
        <v>84</v>
      </c>
      <c r="B69" s="13"/>
      <c r="C69" s="14"/>
      <c r="D69" s="15">
        <f>COUNTIF(D5:D63,"Không đạt")</f>
        <v>0</v>
      </c>
      <c r="E69" s="13"/>
      <c r="F69" s="14"/>
    </row>
    <row r="70" ht="19.5" customHeight="1">
      <c r="A70" s="12" t="s">
        <v>85</v>
      </c>
      <c r="B70" s="13"/>
      <c r="C70" s="14"/>
      <c r="D70" s="15">
        <f>COUNTIF(D5:D63,"N/A")</f>
        <v>0</v>
      </c>
      <c r="E70" s="13"/>
      <c r="F70" s="14"/>
    </row>
    <row r="71" ht="19.5" customHeight="1">
      <c r="A71" s="12" t="s">
        <v>86</v>
      </c>
      <c r="B71" s="13"/>
      <c r="C71" s="14"/>
      <c r="D71" s="15">
        <f>IFERROR(ROUND(COUNTIF(D5:D63,"Đạt")/(COUNTA(C5:C63)-COUNTIF(D5:D63,"N/A"))*100,1),0)</f>
        <v>0</v>
      </c>
      <c r="E71" s="13"/>
      <c r="F71" s="14"/>
    </row>
    <row r="72" ht="14.25" customHeight="1"/>
    <row r="73" ht="24.0" customHeight="1">
      <c r="A73" s="16" t="s">
        <v>87</v>
      </c>
    </row>
    <row r="74" ht="14.25" customHeight="1"/>
    <row r="75" ht="21.75" customHeight="1">
      <c r="A75" s="17" t="s">
        <v>88</v>
      </c>
      <c r="D75" s="17" t="s">
        <v>89</v>
      </c>
    </row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4:$F$63"/>
  <mergeCells count="30">
    <mergeCell ref="A1:F1"/>
    <mergeCell ref="A2:F2"/>
    <mergeCell ref="B5:B12"/>
    <mergeCell ref="B13:B19"/>
    <mergeCell ref="B20:B22"/>
    <mergeCell ref="B23:B27"/>
    <mergeCell ref="B28:B30"/>
    <mergeCell ref="B31:B33"/>
    <mergeCell ref="B34:B35"/>
    <mergeCell ref="B36:B38"/>
    <mergeCell ref="B39:B41"/>
    <mergeCell ref="B42:B43"/>
    <mergeCell ref="B44:B45"/>
    <mergeCell ref="B46:B50"/>
    <mergeCell ref="B51:B56"/>
    <mergeCell ref="B57:B63"/>
    <mergeCell ref="A66:F66"/>
    <mergeCell ref="A67:C67"/>
    <mergeCell ref="D67:F67"/>
    <mergeCell ref="A68:C68"/>
    <mergeCell ref="D68:F68"/>
    <mergeCell ref="A75:C75"/>
    <mergeCell ref="D75:F75"/>
    <mergeCell ref="A69:C69"/>
    <mergeCell ref="D69:F69"/>
    <mergeCell ref="A70:C70"/>
    <mergeCell ref="D70:F70"/>
    <mergeCell ref="A71:C71"/>
    <mergeCell ref="D71:F71"/>
    <mergeCell ref="A73:F73"/>
  </mergeCells>
  <conditionalFormatting sqref="D5:D63">
    <cfRule type="cellIs" dxfId="0" priority="1" operator="equal">
      <formula>"Đạt"</formula>
    </cfRule>
  </conditionalFormatting>
  <conditionalFormatting sqref="D5:D63">
    <cfRule type="cellIs" dxfId="1" priority="2" operator="equal">
      <formula>"Không đạt"</formula>
    </cfRule>
  </conditionalFormatting>
  <conditionalFormatting sqref="D5:D63">
    <cfRule type="cellIs" dxfId="2" priority="3" operator="equal">
      <formula>"N/A"</formula>
    </cfRule>
  </conditionalFormatting>
  <dataValidations>
    <dataValidation type="list" allowBlank="1" sqref="D5:D63">
      <formula1>"Đạt,Không đạt,N/A"</formula1>
    </dataValidation>
    <dataValidation type="list" allowBlank="1" sqref="E5:E63">
      <formula1>"Cao,Trung bình,Thấp"</formula1>
    </dataValidation>
  </dataValidation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2026-07-13T13:48:41Z</dcterms:created>
  <dc:creator>openpyxl</dc:creator>
</cp:coreProperties>
</file>